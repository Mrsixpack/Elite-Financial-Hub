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_Data" sheetId="1" r:id="rId1"/>
    <sheet name="Income_Sources" sheetId="2" r:id="rId2"/>
    <sheet name="Subscriptions" sheetId="3" r:id="rId3"/>
    <sheet name="Accounts" sheetId="4" r:id="rId4"/>
    <sheet name="Credit_Optimization" sheetId="5" r:id="rId5"/>
    <sheet name="Action_Items" sheetId="6" r:id="rId6"/>
  </sheets>
  <calcPr calcId="124519" fullCalcOnLoad="1"/>
</workbook>
</file>

<file path=xl/sharedStrings.xml><?xml version="1.0" encoding="utf-8"?>
<sst xmlns="http://schemas.openxmlformats.org/spreadsheetml/2006/main" count="521" uniqueCount="400">
  <si>
    <t>MrSixPack Financial Dashboard</t>
  </si>
  <si>
    <t>Financial Metric</t>
  </si>
  <si>
    <t>Current Value</t>
  </si>
  <si>
    <t>Target Value</t>
  </si>
  <si>
    <t>Progress %</t>
  </si>
  <si>
    <t>Status</t>
  </si>
  <si>
    <t>Pay Period Income</t>
  </si>
  <si>
    <t>On Track</t>
  </si>
  <si>
    <t>YTD Earnings</t>
  </si>
  <si>
    <t>Ahead of Schedule</t>
  </si>
  <si>
    <t>401k Balance</t>
  </si>
  <si>
    <t>Building</t>
  </si>
  <si>
    <t>PTO Hours Available</t>
  </si>
  <si>
    <t>Need More Time</t>
  </si>
  <si>
    <t>Wells Fargo Balance</t>
  </si>
  <si>
    <t>Critical</t>
  </si>
  <si>
    <t>BOA Balance</t>
  </si>
  <si>
    <t>Low</t>
  </si>
  <si>
    <t>Credit Score</t>
  </si>
  <si>
    <t>Improving</t>
  </si>
  <si>
    <t>Monthly Subscriptions</t>
  </si>
  <si>
    <t>Over Budget</t>
  </si>
  <si>
    <t>Net Worth (Estimated)</t>
  </si>
  <si>
    <t>Growing</t>
  </si>
  <si>
    <t>Key Performance Indicators</t>
  </si>
  <si>
    <t>Quick Financial Health Check</t>
  </si>
  <si>
    <t>Monthly Cash Flow</t>
  </si>
  <si>
    <t>Net monthly income after subscriptions</t>
  </si>
  <si>
    <t>Emergency Fund Ratio</t>
  </si>
  <si>
    <t>Months of expenses covered</t>
  </si>
  <si>
    <t>Savings Rate</t>
  </si>
  <si>
    <t>Retirement savings as % of monthly income</t>
  </si>
  <si>
    <t>Debt-to-Income</t>
  </si>
  <si>
    <t>0%</t>
  </si>
  <si>
    <t>No reported debt (Good!)</t>
  </si>
  <si>
    <t>MrSixPack Income Sources &amp; Projections</t>
  </si>
  <si>
    <t>Income Source</t>
  </si>
  <si>
    <t>Amount</t>
  </si>
  <si>
    <t>Frequency</t>
  </si>
  <si>
    <t>Monthly Equivalent</t>
  </si>
  <si>
    <t>Annual Projection</t>
  </si>
  <si>
    <t>Notes</t>
  </si>
  <si>
    <t>Primary Job (Gross)</t>
  </si>
  <si>
    <t>Bi-Weekly</t>
  </si>
  <si>
    <t>Current pay period from paystub</t>
  </si>
  <si>
    <t>401k Contribution</t>
  </si>
  <si>
    <t>YTD Total</t>
  </si>
  <si>
    <t>Retirement savings (growing)</t>
  </si>
  <si>
    <t>PTO Cash Value</t>
  </si>
  <si>
    <t>Available</t>
  </si>
  <si>
    <t>19 hours * ~$25/hour estimated</t>
  </si>
  <si>
    <t>Overtime (Potential)</t>
  </si>
  <si>
    <t>Monthly</t>
  </si>
  <si>
    <t>Based on availability</t>
  </si>
  <si>
    <t>Side Income (Future)</t>
  </si>
  <si>
    <t>Variable</t>
  </si>
  <si>
    <t>Placeholder for additional income</t>
  </si>
  <si>
    <t>Year-to-Date Summary</t>
  </si>
  <si>
    <t>Actual Performance vs Projections</t>
  </si>
  <si>
    <t>YTD Gross Earnings</t>
  </si>
  <si>
    <t>Actual from paystub</t>
  </si>
  <si>
    <t>YTD Expected (Linear)</t>
  </si>
  <si>
    <t>Pro-rated projection</t>
  </si>
  <si>
    <t>YTD Performance</t>
  </si>
  <si>
    <t>Actual vs Expected</t>
  </si>
  <si>
    <t>Remaining Year Projection</t>
  </si>
  <si>
    <t>Expected through year end</t>
  </si>
  <si>
    <t>Full Year Estimate</t>
  </si>
  <si>
    <t>YTD Actual + Remaining projection</t>
  </si>
  <si>
    <t>Monthly Income Breakdown</t>
  </si>
  <si>
    <t>Regular Monthly Income Analysis</t>
  </si>
  <si>
    <t>Gross Monthly (Estimated)</t>
  </si>
  <si>
    <t>Based on bi-weekly pay</t>
  </si>
  <si>
    <t>Net Monthly (Estimated)</t>
  </si>
  <si>
    <t>Assuming ~25% total deductions</t>
  </si>
  <si>
    <t>401k Monthly Contribution</t>
  </si>
  <si>
    <t>Current retirement savings rate</t>
  </si>
  <si>
    <t>Available Monthly Income</t>
  </si>
  <si>
    <t>After retirement contributions</t>
  </si>
  <si>
    <t>Monthly Savings Goal</t>
  </si>
  <si>
    <t>20% of available income recommended</t>
  </si>
  <si>
    <t>MrSixPack Subscription Analysis &amp; Optimization</t>
  </si>
  <si>
    <t>Service/Subscription</t>
  </si>
  <si>
    <t>Monthly Cost</t>
  </si>
  <si>
    <t>Annual Cost</t>
  </si>
  <si>
    <t>Category</t>
  </si>
  <si>
    <t>Priority Level</t>
  </si>
  <si>
    <t>Savings Impact</t>
  </si>
  <si>
    <t>Notes/Action</t>
  </si>
  <si>
    <t>Netflix</t>
  </si>
  <si>
    <t>Entertainment</t>
  </si>
  <si>
    <t>Medium</t>
  </si>
  <si>
    <t>Keep</t>
  </si>
  <si>
    <t>Standard plan, good value</t>
  </si>
  <si>
    <t>Spotify Premium</t>
  </si>
  <si>
    <t>High</t>
  </si>
  <si>
    <t>Daily use, essential</t>
  </si>
  <si>
    <t>Adobe Creative Suite</t>
  </si>
  <si>
    <t>Professional</t>
  </si>
  <si>
    <t>Work/side projects</t>
  </si>
  <si>
    <t>Amazon Prime</t>
  </si>
  <si>
    <t>Shopping/Entertainment</t>
  </si>
  <si>
    <t>Review</t>
  </si>
  <si>
    <t>Annual might be cheaper</t>
  </si>
  <si>
    <t>Disney+</t>
  </si>
  <si>
    <t>Cancel?</t>
  </si>
  <si>
    <t>Limited use lately</t>
  </si>
  <si>
    <t>Hulu</t>
  </si>
  <si>
    <t>Overlaps with Netflix</t>
  </si>
  <si>
    <t>Apple iCloud</t>
  </si>
  <si>
    <t>Storage</t>
  </si>
  <si>
    <t>Photo backup essential</t>
  </si>
  <si>
    <t>Gym Membership</t>
  </si>
  <si>
    <t>Health/Fitness</t>
  </si>
  <si>
    <t>Health investment</t>
  </si>
  <si>
    <t>YouTube Premium</t>
  </si>
  <si>
    <t>Ad-free convenience</t>
  </si>
  <si>
    <t>Microsoft 365</t>
  </si>
  <si>
    <t>Productivity</t>
  </si>
  <si>
    <t>Work documents</t>
  </si>
  <si>
    <t>Subscription Summary</t>
  </si>
  <si>
    <t>Cost Analysis &amp; Optimization Opportunities</t>
  </si>
  <si>
    <t>Total Monthly Cost</t>
  </si>
  <si>
    <t>Current total spending</t>
  </si>
  <si>
    <t>Total Annual Cost</t>
  </si>
  <si>
    <t>Yearly subscription expense</t>
  </si>
  <si>
    <t>% of Monthly Income</t>
  </si>
  <si>
    <t>Subscriptions as % of income</t>
  </si>
  <si>
    <t>High Priority Items</t>
  </si>
  <si>
    <t>Essential subscriptions to keep</t>
  </si>
  <si>
    <t>Potential Cancellations</t>
  </si>
  <si>
    <t>Services marked for cancellation</t>
  </si>
  <si>
    <t>Potential Monthly Savings</t>
  </si>
  <si>
    <t>If canceling Disney+ + Hulu + reviewing others</t>
  </si>
  <si>
    <t>Optimization Recommendations</t>
  </si>
  <si>
    <t>Action Plan for Subscription Management</t>
  </si>
  <si>
    <t>Quick Wins</t>
  </si>
  <si>
    <t>Cancel Disney+ &amp; Hulu</t>
  </si>
  <si>
    <t>Save $15.98/month ($191.76/year)</t>
  </si>
  <si>
    <t>Review Items</t>
  </si>
  <si>
    <t>Switch Amazon to Annual</t>
  </si>
  <si>
    <t>Save ~$30/year with annual plan</t>
  </si>
  <si>
    <t>Monitor Usage</t>
  </si>
  <si>
    <t>Track YouTube Premium usage</t>
  </si>
  <si>
    <t>Cancel if not using regularly</t>
  </si>
  <si>
    <t>Bundle Opportunity</t>
  </si>
  <si>
    <t>Look for streaming bundles</t>
  </si>
  <si>
    <t>Potential additional savings</t>
  </si>
  <si>
    <t>Target Goal</t>
  </si>
  <si>
    <t>Reduce to $50/month total</t>
  </si>
  <si>
    <t>Would save $39.98/month</t>
  </si>
  <si>
    <t>MrSixPack Account Balances &amp; Tracking</t>
  </si>
  <si>
    <t>Account Name</t>
  </si>
  <si>
    <t>Institution</t>
  </si>
  <si>
    <t>Account Type</t>
  </si>
  <si>
    <t>Current Balance</t>
  </si>
  <si>
    <t>Target Balance</t>
  </si>
  <si>
    <t>Monthly Goal</t>
  </si>
  <si>
    <t>Notes/Strategy</t>
  </si>
  <si>
    <t>Primary Checking</t>
  </si>
  <si>
    <t>Wells Fargo</t>
  </si>
  <si>
    <t>Checking</t>
  </si>
  <si>
    <t>Emergency fund - PRIORITY</t>
  </si>
  <si>
    <t>Secondary Checking</t>
  </si>
  <si>
    <t>Bank of America</t>
  </si>
  <si>
    <t>Bill payments account</t>
  </si>
  <si>
    <t>Emergency Fund</t>
  </si>
  <si>
    <t>High-Yield Savings</t>
  </si>
  <si>
    <t>Savings</t>
  </si>
  <si>
    <t>Target: 3 months expenses</t>
  </si>
  <si>
    <t>401k Retirement</t>
  </si>
  <si>
    <t>Employer Plan</t>
  </si>
  <si>
    <t>Retirement</t>
  </si>
  <si>
    <t>Auto-contribution active</t>
  </si>
  <si>
    <t>Investment Account</t>
  </si>
  <si>
    <t>Brokerage</t>
  </si>
  <si>
    <t>Investment</t>
  </si>
  <si>
    <t>Long-term growth</t>
  </si>
  <si>
    <t>Vacation Fund</t>
  </si>
  <si>
    <t>Future travel goals</t>
  </si>
  <si>
    <t>Account Summary</t>
  </si>
  <si>
    <t>Total Balances &amp; Progress Analysis</t>
  </si>
  <si>
    <t>Total Liquid Assets</t>
  </si>
  <si>
    <t>Cash available (checking + savings)</t>
  </si>
  <si>
    <t>Total Retirement</t>
  </si>
  <si>
    <t>Long-term retirement savings</t>
  </si>
  <si>
    <t>Total Investments</t>
  </si>
  <si>
    <t>Growth investments</t>
  </si>
  <si>
    <t>Grand Total Net Worth</t>
  </si>
  <si>
    <t>All account balances combined</t>
  </si>
  <si>
    <t>Target Net Worth</t>
  </si>
  <si>
    <t>Goal for all accounts</t>
  </si>
  <si>
    <t>Progress to Goal</t>
  </si>
  <si>
    <t>Overall progress percentage</t>
  </si>
  <si>
    <t>Monthly Contribution Goal</t>
  </si>
  <si>
    <t>Total monthly savings target</t>
  </si>
  <si>
    <t>Monthly Tracking Template</t>
  </si>
  <si>
    <t>Track Progress Month by Month</t>
  </si>
  <si>
    <t>Month</t>
  </si>
  <si>
    <t>Primary Checkin</t>
  </si>
  <si>
    <t>Secondary Check</t>
  </si>
  <si>
    <t>Investment Acco</t>
  </si>
  <si>
    <t>January</t>
  </si>
  <si>
    <t>February</t>
  </si>
  <si>
    <t>March</t>
  </si>
  <si>
    <t>April</t>
  </si>
  <si>
    <t>May</t>
  </si>
  <si>
    <t>June</t>
  </si>
  <si>
    <t>Account Improvement Strategies</t>
  </si>
  <si>
    <t>Actionable Steps to Reach Targets</t>
  </si>
  <si>
    <t>Wells Fargo Emergency</t>
  </si>
  <si>
    <t>Immediate: Add $200/month</t>
  </si>
  <si>
    <t>Reach $1000 in 5 months</t>
  </si>
  <si>
    <t>BOA Bill Account</t>
  </si>
  <si>
    <t>Maintain: Keep above $500</t>
  </si>
  <si>
    <t>Avoid overdraft fees</t>
  </si>
  <si>
    <t>Start: Open account &amp; automate</t>
  </si>
  <si>
    <t>Build 3-month emergency fund</t>
  </si>
  <si>
    <t>401k Optimization</t>
  </si>
  <si>
    <t>Review: Increase % if possible</t>
  </si>
  <si>
    <t>Maximize employer match</t>
  </si>
  <si>
    <t>Begin: Start with $100/month</t>
  </si>
  <si>
    <t>Dollar-cost averaging strategy</t>
  </si>
  <si>
    <t>Automation Setup</t>
  </si>
  <si>
    <t>Implement: Auto-transfers</t>
  </si>
  <si>
    <t>Set it and forget it approach</t>
  </si>
  <si>
    <t>MrSixPack Credit Score Optimization Plan</t>
  </si>
  <si>
    <t>Current Credit Score:</t>
  </si>
  <si>
    <t>Target Score:</t>
  </si>
  <si>
    <t>700+</t>
  </si>
  <si>
    <t>Improvement Needed:</t>
  </si>
  <si>
    <t>+60 points</t>
  </si>
  <si>
    <t>Credit Factor</t>
  </si>
  <si>
    <t>Current Status</t>
  </si>
  <si>
    <t>Target Status</t>
  </si>
  <si>
    <t>Impact Level</t>
  </si>
  <si>
    <t>Action Required</t>
  </si>
  <si>
    <t>Payment History (35%)</t>
  </si>
  <si>
    <t>Good</t>
  </si>
  <si>
    <t>Excellent</t>
  </si>
  <si>
    <t>Continue perfect payment streak</t>
  </si>
  <si>
    <t>Credit Utilization (30%)</t>
  </si>
  <si>
    <t>High (&gt;30%)</t>
  </si>
  <si>
    <t>Low (&lt;10%)</t>
  </si>
  <si>
    <t>Very High</t>
  </si>
  <si>
    <t>Pay down balances, increase limits</t>
  </si>
  <si>
    <t>Length of History (15%)</t>
  </si>
  <si>
    <t>Short (2-3 years)</t>
  </si>
  <si>
    <t>Long (5+ years)</t>
  </si>
  <si>
    <t>Keep old accounts open, be patient</t>
  </si>
  <si>
    <t>Credit Mix (10%)</t>
  </si>
  <si>
    <t>Limited</t>
  </si>
  <si>
    <t>Diverse</t>
  </si>
  <si>
    <t>Add different types of credit</t>
  </si>
  <si>
    <t>New Credit (10%)</t>
  </si>
  <si>
    <t>Recent inquiries</t>
  </si>
  <si>
    <t>Stable</t>
  </si>
  <si>
    <t>Avoid new credit applications</t>
  </si>
  <si>
    <t>Total Accounts</t>
  </si>
  <si>
    <t>3-4 accounts</t>
  </si>
  <si>
    <t>5-8 accounts</t>
  </si>
  <si>
    <t>Gradually add accounts over time</t>
  </si>
  <si>
    <t>0% (Great!)</t>
  </si>
  <si>
    <t>Keep at 0%</t>
  </si>
  <si>
    <t>Maintain no debt - huge advantage!</t>
  </si>
  <si>
    <t>90-Day Credit Improvement Plan</t>
  </si>
  <si>
    <t>Priority Actions for Maximum Score Boost</t>
  </si>
  <si>
    <t>Timeframe</t>
  </si>
  <si>
    <t>Action Item</t>
  </si>
  <si>
    <t>Priority</t>
  </si>
  <si>
    <t>Details</t>
  </si>
  <si>
    <t>Week 1-2</t>
  </si>
  <si>
    <t>Calculate exact credit utilization</t>
  </si>
  <si>
    <t>High Priority</t>
  </si>
  <si>
    <t>Get all current balances and limits</t>
  </si>
  <si>
    <t>Week 3-4</t>
  </si>
  <si>
    <t>Pay down high-utilization cards</t>
  </si>
  <si>
    <t>Target cards over 30% utilization first</t>
  </si>
  <si>
    <t>Week 5-6</t>
  </si>
  <si>
    <t>Request credit limit increases</t>
  </si>
  <si>
    <t>Call existing creditors, don't apply new</t>
  </si>
  <si>
    <t>Week 7-8</t>
  </si>
  <si>
    <t>Set up automatic payments</t>
  </si>
  <si>
    <t>Ensure perfect payment history continues</t>
  </si>
  <si>
    <t>Week 9-10</t>
  </si>
  <si>
    <t>Monitor credit reports</t>
  </si>
  <si>
    <t>Medium Priority</t>
  </si>
  <si>
    <t>Check for errors, dispute if needed</t>
  </si>
  <si>
    <t>Week 11-12</t>
  </si>
  <si>
    <t>Reassess and plan next steps</t>
  </si>
  <si>
    <t>Evaluate progress, adjust strategy</t>
  </si>
  <si>
    <t>Score Improvement Projections</t>
  </si>
  <si>
    <t>Expected Progress Timeline</t>
  </si>
  <si>
    <t>Milestone</t>
  </si>
  <si>
    <t>Projected Score</t>
  </si>
  <si>
    <t>Contributing Factors</t>
  </si>
  <si>
    <t>Current Score</t>
  </si>
  <si>
    <t>Starting point</t>
  </si>
  <si>
    <t>30 Days (Payment history)</t>
  </si>
  <si>
    <t>+10 points from continued perfect payments</t>
  </si>
  <si>
    <t>60 Days (Utilization fix)</t>
  </si>
  <si>
    <t>+30 points from reduced utilization</t>
  </si>
  <si>
    <t>90 Days (Limit increases)</t>
  </si>
  <si>
    <t>+20 points from increased available credit</t>
  </si>
  <si>
    <t>6 Months (Time factor)</t>
  </si>
  <si>
    <t>+20 points from longer history</t>
  </si>
  <si>
    <t>12 Months (Full optimization)</t>
  </si>
  <si>
    <t>+20 points from mature account management</t>
  </si>
  <si>
    <t>MrSixPack Financial Action Items &amp; Savings Tracker</t>
  </si>
  <si>
    <t>✓</t>
  </si>
  <si>
    <t>Monthly Savings</t>
  </si>
  <si>
    <t>Time Needed</t>
  </si>
  <si>
    <t>Deadline</t>
  </si>
  <si>
    <t>Notes/Resources</t>
  </si>
  <si>
    <t>☐</t>
  </si>
  <si>
    <t>Cancel Disney+ subscription</t>
  </si>
  <si>
    <t>5 minutes</t>
  </si>
  <si>
    <t>1 week</t>
  </si>
  <si>
    <t>Save $95.88/year, barely used</t>
  </si>
  <si>
    <t>Cancel Hulu subscription</t>
  </si>
  <si>
    <t>Save $95.88/year, overlaps Netflix</t>
  </si>
  <si>
    <t>Build Wells Fargo emergency fund</t>
  </si>
  <si>
    <t>Process</t>
  </si>
  <si>
    <t>1 hour setup</t>
  </si>
  <si>
    <t>30 days</t>
  </si>
  <si>
    <t>Add $200/month to reach $1000</t>
  </si>
  <si>
    <t>Set up automatic transfers</t>
  </si>
  <si>
    <t>30 minutes</t>
  </si>
  <si>
    <t>2 weeks</t>
  </si>
  <si>
    <t>Automate savings to avoid spending</t>
  </si>
  <si>
    <t>Review credit card utilization</t>
  </si>
  <si>
    <t>1 hour</t>
  </si>
  <si>
    <t>Critical for credit score improvement</t>
  </si>
  <si>
    <t>Switch Amazon Prime to annual</t>
  </si>
  <si>
    <t>10 minutes</t>
  </si>
  <si>
    <t>Annual plan saves ~$30/year</t>
  </si>
  <si>
    <t>Open high-yield savings account</t>
  </si>
  <si>
    <t>2 hours</t>
  </si>
  <si>
    <t>Earn 4-5% vs 0.01% current</t>
  </si>
  <si>
    <t>Improves credit utilization ratio</t>
  </si>
  <si>
    <t>Consolidate checking accounts</t>
  </si>
  <si>
    <t>60 days</t>
  </si>
  <si>
    <t>Eliminate fees, simplify tracking</t>
  </si>
  <si>
    <t>Review YouTube Premium usage</t>
  </si>
  <si>
    <t>Research investment account options</t>
  </si>
  <si>
    <t>3 hours</t>
  </si>
  <si>
    <t>90 days</t>
  </si>
  <si>
    <t>Start with $100/month investing</t>
  </si>
  <si>
    <t>Optimize 401k contribution %</t>
  </si>
  <si>
    <t>Maximize employer match first</t>
  </si>
  <si>
    <t>Set up vacation savings fund</t>
  </si>
  <si>
    <t>Automate $50/month for travel</t>
  </si>
  <si>
    <t>Create monthly budget template</t>
  </si>
  <si>
    <t>Track spending patterns</t>
  </si>
  <si>
    <t>Research cashback credit cards</t>
  </si>
  <si>
    <t>6 months</t>
  </si>
  <si>
    <t>Only after credit score improves</t>
  </si>
  <si>
    <t>Monthly account balance review</t>
  </si>
  <si>
    <t>15 minutes</t>
  </si>
  <si>
    <t>Track progress, catch issues early</t>
  </si>
  <si>
    <t>Quarterly credit report check</t>
  </si>
  <si>
    <t>Quarterly</t>
  </si>
  <si>
    <t>Monitor score improvements</t>
  </si>
  <si>
    <t>Annual insurance review</t>
  </si>
  <si>
    <t>Annually</t>
  </si>
  <si>
    <t>Optimize rates and coverage</t>
  </si>
  <si>
    <t>Tax optimization planning</t>
  </si>
  <si>
    <t>Maximize deductions and credits</t>
  </si>
  <si>
    <t>Financial goal reassessment</t>
  </si>
  <si>
    <t>Adjust targets based on progress</t>
  </si>
  <si>
    <t>Action Summary</t>
  </si>
  <si>
    <t>Impact Analysis &amp; Priority Breakdown</t>
  </si>
  <si>
    <t>Total Potential Monthly Savings</t>
  </si>
  <si>
    <t>$875.64 annually</t>
  </si>
  <si>
    <t>High Priority Actions</t>
  </si>
  <si>
    <t>Complete these first for maximum impact</t>
  </si>
  <si>
    <t>Quick Wins (&lt;30 minutes)</t>
  </si>
  <si>
    <t>Easy actions with immediate savings</t>
  </si>
  <si>
    <t>Process Improvements</t>
  </si>
  <si>
    <t>Long-term financial health items</t>
  </si>
  <si>
    <t>Completion Target</t>
  </si>
  <si>
    <t>80%</t>
  </si>
  <si>
    <t>Complete 80% within 90 days</t>
  </si>
  <si>
    <t>Weekly Progress Tracker</t>
  </si>
  <si>
    <t>Mark Your Progress Each Week</t>
  </si>
  <si>
    <t>Week</t>
  </si>
  <si>
    <t>Actions Completed</t>
  </si>
  <si>
    <t>Cumulative Savings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</si>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</sst>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%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E4B8B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4B8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rgb="FF3498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0" fontId="6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5.7109375" customWidth="1"/>
    <col min="2" max="4" width="15.7109375" customWidth="1"/>
    <col min="5" max="5" width="2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4">
        <v>3151.34</v>
      </c>
      <c r="C4" s="4">
        <v>3500</v>
      </c>
      <c r="D4" s="5">
        <f>B4/C4</f>
        <v>0</v>
      </c>
      <c r="E4" s="6" t="s">
        <v>7</v>
      </c>
    </row>
    <row r="5" spans="1:5">
      <c r="A5" s="3" t="s">
        <v>8</v>
      </c>
      <c r="B5" s="4">
        <v>64995.38</v>
      </c>
      <c r="C5" s="4">
        <v>75000</v>
      </c>
      <c r="D5" s="5">
        <f>B5/C5</f>
        <v>0</v>
      </c>
      <c r="E5" s="6" t="s">
        <v>9</v>
      </c>
    </row>
    <row r="6" spans="1:5">
      <c r="A6" s="3" t="s">
        <v>10</v>
      </c>
      <c r="B6" s="4">
        <v>5126.14</v>
      </c>
      <c r="C6" s="4">
        <v>10000</v>
      </c>
      <c r="D6" s="5">
        <f>B6/C6</f>
        <v>0</v>
      </c>
      <c r="E6" s="7" t="s">
        <v>11</v>
      </c>
    </row>
    <row r="7" spans="1:5">
      <c r="A7" s="3" t="s">
        <v>12</v>
      </c>
      <c r="B7" s="8">
        <v>19</v>
      </c>
      <c r="C7" s="8">
        <v>40</v>
      </c>
      <c r="D7" s="5">
        <f>B7/C7</f>
        <v>0</v>
      </c>
      <c r="E7" s="7" t="s">
        <v>13</v>
      </c>
    </row>
    <row r="8" spans="1:5">
      <c r="A8" s="3" t="s">
        <v>14</v>
      </c>
      <c r="B8" s="4">
        <v>180.8</v>
      </c>
      <c r="C8" s="4">
        <v>1000</v>
      </c>
      <c r="D8" s="5">
        <f>B8/C8</f>
        <v>0</v>
      </c>
      <c r="E8" s="9" t="s">
        <v>15</v>
      </c>
    </row>
    <row r="9" spans="1:5">
      <c r="A9" s="3" t="s">
        <v>16</v>
      </c>
      <c r="B9" s="4">
        <v>324.32</v>
      </c>
      <c r="C9" s="4">
        <v>1000</v>
      </c>
      <c r="D9" s="5">
        <f>B9/C9</f>
        <v>0</v>
      </c>
      <c r="E9" s="7" t="s">
        <v>17</v>
      </c>
    </row>
    <row r="10" spans="1:5">
      <c r="A10" s="3" t="s">
        <v>18</v>
      </c>
      <c r="B10" s="8">
        <v>640</v>
      </c>
      <c r="C10" s="8">
        <v>700</v>
      </c>
      <c r="D10" s="5">
        <f>B10/C10</f>
        <v>0</v>
      </c>
      <c r="E10" s="7" t="s">
        <v>19</v>
      </c>
    </row>
    <row r="11" spans="1:5">
      <c r="A11" s="3" t="s">
        <v>20</v>
      </c>
      <c r="B11" s="4">
        <v>89.98</v>
      </c>
      <c r="C11" s="4">
        <v>50</v>
      </c>
      <c r="D11" s="5">
        <f>B11/C11</f>
        <v>0</v>
      </c>
      <c r="E11" s="9" t="s">
        <v>21</v>
      </c>
    </row>
    <row r="12" spans="1:5">
      <c r="A12" s="3" t="s">
        <v>22</v>
      </c>
      <c r="B12" s="4">
        <v>5631.26</v>
      </c>
      <c r="C12" s="4">
        <v>15000</v>
      </c>
      <c r="D12" s="5">
        <f>B12/C12</f>
        <v>0</v>
      </c>
      <c r="E12" s="6" t="s">
        <v>23</v>
      </c>
    </row>
    <row r="15" spans="1:5">
      <c r="A15" s="10" t="s">
        <v>24</v>
      </c>
      <c r="B15" s="10" t="s">
        <v>25</v>
      </c>
      <c r="C15" s="10"/>
      <c r="D15" s="10"/>
      <c r="E15" s="10"/>
    </row>
    <row r="16" spans="1:5">
      <c r="A16" s="3" t="s">
        <v>26</v>
      </c>
      <c r="B16" s="4">
        <f>B4*2-B11</f>
        <v>0</v>
      </c>
      <c r="C16" s="3" t="s">
        <v>27</v>
      </c>
      <c r="D16" s="3"/>
      <c r="E16" s="3"/>
    </row>
    <row r="17" spans="1:5">
      <c r="A17" s="3" t="s">
        <v>28</v>
      </c>
      <c r="B17" s="4">
        <f>(B8+B9)/B11</f>
        <v>0</v>
      </c>
      <c r="C17" s="3" t="s">
        <v>29</v>
      </c>
      <c r="D17" s="3"/>
      <c r="E17" s="3"/>
    </row>
    <row r="18" spans="1:5">
      <c r="A18" s="3" t="s">
        <v>30</v>
      </c>
      <c r="B18" s="4">
        <f>B6/(B5/12)</f>
        <v>0</v>
      </c>
      <c r="C18" s="3" t="s">
        <v>31</v>
      </c>
      <c r="D18" s="3"/>
      <c r="E18" s="3"/>
    </row>
    <row r="19" spans="1:5">
      <c r="A19" s="3" t="s">
        <v>32</v>
      </c>
      <c r="B19" s="8" t="s">
        <v>33</v>
      </c>
      <c r="C19" s="3" t="s">
        <v>34</v>
      </c>
      <c r="D19" s="3"/>
      <c r="E19" s="3"/>
    </row>
  </sheetData>
  <mergeCells count="6">
    <mergeCell ref="A1:E1"/>
    <mergeCell ref="B15:E15"/>
    <mergeCell ref="C16:E16"/>
    <mergeCell ref="C17:E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1" width="20.7109375" customWidth="1"/>
    <col min="2" max="3" width="15.7109375" customWidth="1"/>
    <col min="4" max="5" width="18.7109375" customWidth="1"/>
    <col min="6" max="6" width="25.7109375" customWidth="1"/>
  </cols>
  <sheetData>
    <row r="1" spans="1:6">
      <c r="A1" s="1" t="s">
        <v>35</v>
      </c>
      <c r="B1" s="1"/>
      <c r="C1" s="1"/>
      <c r="D1" s="1"/>
      <c r="E1" s="1"/>
      <c r="F1" s="1"/>
    </row>
    <row r="3" spans="1:6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</row>
    <row r="4" spans="1:6">
      <c r="A4" s="3" t="s">
        <v>42</v>
      </c>
      <c r="B4" s="4">
        <v>3151.34</v>
      </c>
      <c r="C4" s="8" t="s">
        <v>43</v>
      </c>
      <c r="D4" s="4">
        <f>B4*26/12</f>
        <v>0</v>
      </c>
      <c r="E4" s="4">
        <f>B4*26</f>
        <v>0</v>
      </c>
      <c r="F4" s="3" t="s">
        <v>44</v>
      </c>
    </row>
    <row r="5" spans="1:6">
      <c r="A5" s="3" t="s">
        <v>45</v>
      </c>
      <c r="B5" s="4">
        <v>5126.14</v>
      </c>
      <c r="C5" s="8" t="s">
        <v>46</v>
      </c>
      <c r="D5" s="4">
        <f>B5/12</f>
        <v>0</v>
      </c>
      <c r="E5" s="4">
        <f>B5</f>
        <v>0</v>
      </c>
      <c r="F5" s="3" t="s">
        <v>47</v>
      </c>
    </row>
    <row r="6" spans="1:6">
      <c r="A6" s="3" t="s">
        <v>48</v>
      </c>
      <c r="B6" s="4">
        <v>475</v>
      </c>
      <c r="C6" s="8" t="s">
        <v>49</v>
      </c>
      <c r="D6" s="4">
        <f>B6/12</f>
        <v>0</v>
      </c>
      <c r="E6" s="4">
        <f>B6</f>
        <v>0</v>
      </c>
      <c r="F6" s="3" t="s">
        <v>50</v>
      </c>
    </row>
    <row r="7" spans="1:6">
      <c r="A7" s="3" t="s">
        <v>51</v>
      </c>
      <c r="B7" s="4">
        <v>200</v>
      </c>
      <c r="C7" s="8" t="s">
        <v>52</v>
      </c>
      <c r="D7" s="4">
        <f>B7</f>
        <v>0</v>
      </c>
      <c r="E7" s="4">
        <f>B7*12</f>
        <v>0</v>
      </c>
      <c r="F7" s="3" t="s">
        <v>53</v>
      </c>
    </row>
    <row r="8" spans="1:6">
      <c r="A8" s="3" t="s">
        <v>54</v>
      </c>
      <c r="B8" s="4">
        <v>0</v>
      </c>
      <c r="C8" s="8" t="s">
        <v>55</v>
      </c>
      <c r="D8" s="4">
        <f>B8</f>
        <v>0</v>
      </c>
      <c r="E8" s="4">
        <f>B8*12</f>
        <v>0</v>
      </c>
      <c r="F8" s="3" t="s">
        <v>56</v>
      </c>
    </row>
    <row r="10" spans="1:6">
      <c r="A10" s="10" t="s">
        <v>57</v>
      </c>
      <c r="B10" s="10" t="s">
        <v>58</v>
      </c>
      <c r="C10" s="10"/>
      <c r="D10" s="10"/>
      <c r="E10" s="10"/>
      <c r="F10" s="10"/>
    </row>
    <row r="11" spans="1:6">
      <c r="A11" s="3" t="s">
        <v>59</v>
      </c>
      <c r="B11" s="4">
        <v>64995.38</v>
      </c>
      <c r="C11" s="3" t="s">
        <v>60</v>
      </c>
      <c r="D11" s="3"/>
      <c r="E11" s="3"/>
      <c r="F11" s="3"/>
    </row>
    <row r="12" spans="1:6">
      <c r="A12" s="3" t="s">
        <v>61</v>
      </c>
      <c r="B12" s="4">
        <f>B4*26*(TODAY()-DATE(YEAR(TODAY()),1,1))/365</f>
        <v>0</v>
      </c>
      <c r="C12" s="3" t="s">
        <v>62</v>
      </c>
      <c r="D12" s="3"/>
      <c r="E12" s="3"/>
      <c r="F12" s="3"/>
    </row>
    <row r="13" spans="1:6">
      <c r="A13" s="3" t="s">
        <v>63</v>
      </c>
      <c r="B13" s="5">
        <f>B11/B12</f>
        <v>0</v>
      </c>
      <c r="C13" s="3" t="s">
        <v>64</v>
      </c>
      <c r="D13" s="3"/>
      <c r="E13" s="3"/>
      <c r="F13" s="3"/>
    </row>
    <row r="14" spans="1:6">
      <c r="A14" s="3" t="s">
        <v>65</v>
      </c>
      <c r="B14" s="4">
        <f>(365-(TODAY()-DATE(YEAR(TODAY()),1,1)))*B4*26/365</f>
        <v>0</v>
      </c>
      <c r="C14" s="3" t="s">
        <v>66</v>
      </c>
      <c r="D14" s="3"/>
      <c r="E14" s="3"/>
      <c r="F14" s="3"/>
    </row>
    <row r="15" spans="1:6">
      <c r="A15" s="3" t="s">
        <v>67</v>
      </c>
      <c r="B15" s="4">
        <f>B11+B14</f>
        <v>0</v>
      </c>
      <c r="C15" s="3" t="s">
        <v>68</v>
      </c>
      <c r="D15" s="3"/>
      <c r="E15" s="3"/>
      <c r="F15" s="3"/>
    </row>
    <row r="18" spans="1:6">
      <c r="A18" s="10" t="s">
        <v>69</v>
      </c>
      <c r="B18" s="10" t="s">
        <v>70</v>
      </c>
      <c r="C18" s="10"/>
      <c r="D18" s="10"/>
      <c r="E18" s="10"/>
      <c r="F18" s="10"/>
    </row>
    <row r="19" spans="1:6">
      <c r="A19" s="3" t="s">
        <v>71</v>
      </c>
      <c r="B19" s="4">
        <f>B4*26/12</f>
        <v>0</v>
      </c>
      <c r="C19" s="3" t="s">
        <v>72</v>
      </c>
      <c r="D19" s="3"/>
      <c r="E19" s="3"/>
      <c r="F19" s="3"/>
    </row>
    <row r="20" spans="1:6">
      <c r="A20" s="3" t="s">
        <v>73</v>
      </c>
      <c r="B20" s="4">
        <f>B19*0.75</f>
        <v>0</v>
      </c>
      <c r="C20" s="3" t="s">
        <v>74</v>
      </c>
      <c r="D20" s="3"/>
      <c r="E20" s="3"/>
      <c r="F20" s="3"/>
    </row>
    <row r="21" spans="1:6">
      <c r="A21" s="3" t="s">
        <v>75</v>
      </c>
      <c r="B21" s="4">
        <f>B5/12</f>
        <v>0</v>
      </c>
      <c r="C21" s="3" t="s">
        <v>76</v>
      </c>
      <c r="D21" s="3"/>
      <c r="E21" s="3"/>
      <c r="F21" s="3"/>
    </row>
    <row r="22" spans="1:6">
      <c r="A22" s="3" t="s">
        <v>77</v>
      </c>
      <c r="B22" s="4">
        <f>B20-B21</f>
        <v>0</v>
      </c>
      <c r="C22" s="3" t="s">
        <v>78</v>
      </c>
      <c r="D22" s="3"/>
      <c r="E22" s="3"/>
      <c r="F22" s="3"/>
    </row>
    <row r="23" spans="1:6">
      <c r="A23" s="3" t="s">
        <v>79</v>
      </c>
      <c r="B23" s="4">
        <f>B22*0.20</f>
        <v>0</v>
      </c>
      <c r="C23" s="3" t="s">
        <v>80</v>
      </c>
      <c r="D23" s="3"/>
      <c r="E23" s="3"/>
      <c r="F23" s="3"/>
    </row>
  </sheetData>
  <mergeCells count="13">
    <mergeCell ref="A1:F1"/>
    <mergeCell ref="B10:F10"/>
    <mergeCell ref="C11:F11"/>
    <mergeCell ref="C12:F12"/>
    <mergeCell ref="C13:F13"/>
    <mergeCell ref="C14:F14"/>
    <mergeCell ref="C15:F15"/>
    <mergeCell ref="B18:F18"/>
    <mergeCell ref="C19:F19"/>
    <mergeCell ref="C20:F20"/>
    <mergeCell ref="C21:F21"/>
    <mergeCell ref="C22:F22"/>
    <mergeCell ref="C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1" width="25.7109375" customWidth="1"/>
    <col min="2" max="5" width="15.7109375" customWidth="1"/>
    <col min="6" max="6" width="20.7109375" customWidth="1"/>
    <col min="7" max="7" width="25.7109375" customWidth="1"/>
  </cols>
  <sheetData>
    <row r="1" spans="1:7">
      <c r="A1" s="1" t="s">
        <v>81</v>
      </c>
      <c r="B1" s="1"/>
      <c r="C1" s="1"/>
      <c r="D1" s="1"/>
      <c r="E1" s="1"/>
      <c r="F1" s="1"/>
      <c r="G1" s="1"/>
    </row>
    <row r="3" spans="1:7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</row>
    <row r="4" spans="1:7">
      <c r="A4" s="3" t="s">
        <v>89</v>
      </c>
      <c r="B4" s="4">
        <v>15.49</v>
      </c>
      <c r="C4" s="4">
        <f>B4*12</f>
        <v>0</v>
      </c>
      <c r="D4" s="8" t="s">
        <v>90</v>
      </c>
      <c r="E4" s="7" t="s">
        <v>91</v>
      </c>
      <c r="F4" s="6" t="s">
        <v>92</v>
      </c>
      <c r="G4" s="3" t="s">
        <v>93</v>
      </c>
    </row>
    <row r="5" spans="1:7">
      <c r="A5" s="3" t="s">
        <v>94</v>
      </c>
      <c r="B5" s="4">
        <v>10.99</v>
      </c>
      <c r="C5" s="4">
        <f>B5*12</f>
        <v>0</v>
      </c>
      <c r="D5" s="8" t="s">
        <v>90</v>
      </c>
      <c r="E5" s="6" t="s">
        <v>95</v>
      </c>
      <c r="F5" s="6" t="s">
        <v>92</v>
      </c>
      <c r="G5" s="3" t="s">
        <v>96</v>
      </c>
    </row>
    <row r="6" spans="1:7">
      <c r="A6" s="3" t="s">
        <v>97</v>
      </c>
      <c r="B6" s="4">
        <v>22.99</v>
      </c>
      <c r="C6" s="4">
        <f>B6*12</f>
        <v>0</v>
      </c>
      <c r="D6" s="8" t="s">
        <v>98</v>
      </c>
      <c r="E6" s="6" t="s">
        <v>95</v>
      </c>
      <c r="F6" s="6" t="s">
        <v>92</v>
      </c>
      <c r="G6" s="3" t="s">
        <v>99</v>
      </c>
    </row>
    <row r="7" spans="1:7">
      <c r="A7" s="3" t="s">
        <v>100</v>
      </c>
      <c r="B7" s="4">
        <v>14.98</v>
      </c>
      <c r="C7" s="4">
        <f>B7*12</f>
        <v>0</v>
      </c>
      <c r="D7" s="8" t="s">
        <v>101</v>
      </c>
      <c r="E7" s="7" t="s">
        <v>91</v>
      </c>
      <c r="F7" s="7" t="s">
        <v>102</v>
      </c>
      <c r="G7" s="3" t="s">
        <v>103</v>
      </c>
    </row>
    <row r="8" spans="1:7">
      <c r="A8" s="3" t="s">
        <v>104</v>
      </c>
      <c r="B8" s="4">
        <v>7.99</v>
      </c>
      <c r="C8" s="4">
        <f>B8*12</f>
        <v>0</v>
      </c>
      <c r="D8" s="8" t="s">
        <v>90</v>
      </c>
      <c r="E8" s="9" t="s">
        <v>17</v>
      </c>
      <c r="F8" s="9" t="s">
        <v>105</v>
      </c>
      <c r="G8" s="3" t="s">
        <v>106</v>
      </c>
    </row>
    <row r="9" spans="1:7">
      <c r="A9" s="3" t="s">
        <v>107</v>
      </c>
      <c r="B9" s="4">
        <v>7.99</v>
      </c>
      <c r="C9" s="4">
        <f>B9*12</f>
        <v>0</v>
      </c>
      <c r="D9" s="8" t="s">
        <v>90</v>
      </c>
      <c r="E9" s="9" t="s">
        <v>17</v>
      </c>
      <c r="F9" s="9" t="s">
        <v>105</v>
      </c>
      <c r="G9" s="3" t="s">
        <v>108</v>
      </c>
    </row>
    <row r="10" spans="1:7">
      <c r="A10" s="3" t="s">
        <v>109</v>
      </c>
      <c r="B10" s="4">
        <v>2.99</v>
      </c>
      <c r="C10" s="4">
        <f>B10*12</f>
        <v>0</v>
      </c>
      <c r="D10" s="8" t="s">
        <v>110</v>
      </c>
      <c r="E10" s="7" t="s">
        <v>91</v>
      </c>
      <c r="F10" s="6" t="s">
        <v>92</v>
      </c>
      <c r="G10" s="3" t="s">
        <v>111</v>
      </c>
    </row>
    <row r="11" spans="1:7">
      <c r="A11" s="3" t="s">
        <v>112</v>
      </c>
      <c r="B11" s="4">
        <v>24.99</v>
      </c>
      <c r="C11" s="4">
        <f>B11*12</f>
        <v>0</v>
      </c>
      <c r="D11" s="8" t="s">
        <v>113</v>
      </c>
      <c r="E11" s="6" t="s">
        <v>95</v>
      </c>
      <c r="F11" s="6" t="s">
        <v>92</v>
      </c>
      <c r="G11" s="3" t="s">
        <v>114</v>
      </c>
    </row>
    <row r="12" spans="1:7">
      <c r="A12" s="3" t="s">
        <v>115</v>
      </c>
      <c r="B12" s="4">
        <v>11.99</v>
      </c>
      <c r="C12" s="4">
        <f>B12*12</f>
        <v>0</v>
      </c>
      <c r="D12" s="8" t="s">
        <v>90</v>
      </c>
      <c r="E12" s="7" t="s">
        <v>91</v>
      </c>
      <c r="F12" s="7" t="s">
        <v>102</v>
      </c>
      <c r="G12" s="3" t="s">
        <v>116</v>
      </c>
    </row>
    <row r="13" spans="1:7">
      <c r="A13" s="3" t="s">
        <v>117</v>
      </c>
      <c r="B13" s="4">
        <v>6.99</v>
      </c>
      <c r="C13" s="4">
        <f>B13*12</f>
        <v>0</v>
      </c>
      <c r="D13" s="8" t="s">
        <v>118</v>
      </c>
      <c r="E13" s="6" t="s">
        <v>95</v>
      </c>
      <c r="F13" s="6" t="s">
        <v>92</v>
      </c>
      <c r="G13" s="3" t="s">
        <v>119</v>
      </c>
    </row>
    <row r="15" spans="1:7">
      <c r="A15" s="10" t="s">
        <v>120</v>
      </c>
      <c r="B15" s="10" t="s">
        <v>121</v>
      </c>
      <c r="C15" s="10"/>
      <c r="D15" s="10"/>
      <c r="E15" s="10"/>
      <c r="F15" s="10"/>
      <c r="G15" s="10"/>
    </row>
    <row r="16" spans="1:7">
      <c r="A16" s="3" t="s">
        <v>122</v>
      </c>
      <c r="B16" s="4">
        <f>SUM(B4:B13)</f>
        <v>0</v>
      </c>
      <c r="C16" s="3" t="s">
        <v>123</v>
      </c>
      <c r="D16" s="3"/>
      <c r="E16" s="3"/>
      <c r="F16" s="3"/>
      <c r="G16" s="3"/>
    </row>
    <row r="17" spans="1:7">
      <c r="A17" s="3" t="s">
        <v>124</v>
      </c>
      <c r="B17" s="4">
        <f>SUM(C4:C13)</f>
        <v>0</v>
      </c>
      <c r="C17" s="3" t="s">
        <v>125</v>
      </c>
      <c r="D17" s="3"/>
      <c r="E17" s="3"/>
      <c r="F17" s="3"/>
      <c r="G17" s="3"/>
    </row>
    <row r="18" spans="1:7">
      <c r="A18" s="3" t="s">
        <v>126</v>
      </c>
      <c r="B18" s="5">
        <f>B16/(Income_Sources.B19)</f>
        <v>0</v>
      </c>
      <c r="C18" s="3" t="s">
        <v>127</v>
      </c>
      <c r="D18" s="3"/>
      <c r="E18" s="3"/>
      <c r="F18" s="3"/>
      <c r="G18" s="3"/>
    </row>
    <row r="19" spans="1:7">
      <c r="A19" s="3" t="s">
        <v>128</v>
      </c>
      <c r="B19" s="8">
        <f>COUNTIF(E4:E13,"High")</f>
        <v>0</v>
      </c>
      <c r="C19" s="3" t="s">
        <v>129</v>
      </c>
      <c r="D19" s="3"/>
      <c r="E19" s="3"/>
      <c r="F19" s="3"/>
      <c r="G19" s="3"/>
    </row>
    <row r="20" spans="1:7">
      <c r="A20" s="3" t="s">
        <v>130</v>
      </c>
      <c r="B20" s="8">
        <f>COUNTIF(F4:F13,"Cancel*")</f>
        <v>0</v>
      </c>
      <c r="C20" s="3" t="s">
        <v>131</v>
      </c>
      <c r="D20" s="3"/>
      <c r="E20" s="3"/>
      <c r="F20" s="3"/>
      <c r="G20" s="3"/>
    </row>
    <row r="21" spans="1:7">
      <c r="A21" s="3" t="s">
        <v>132</v>
      </c>
      <c r="B21" s="4">
        <v>31.96</v>
      </c>
      <c r="C21" s="3" t="s">
        <v>133</v>
      </c>
      <c r="D21" s="3"/>
      <c r="E21" s="3"/>
      <c r="F21" s="3"/>
      <c r="G21" s="3"/>
    </row>
    <row r="24" spans="1:7">
      <c r="A24" s="10" t="s">
        <v>134</v>
      </c>
      <c r="B24" s="10" t="s">
        <v>135</v>
      </c>
      <c r="C24" s="10"/>
      <c r="D24" s="10"/>
      <c r="E24" s="10"/>
      <c r="F24" s="10"/>
      <c r="G24" s="10"/>
    </row>
    <row r="25" spans="1:7">
      <c r="A25" s="7" t="s">
        <v>136</v>
      </c>
      <c r="B25" s="3" t="s">
        <v>137</v>
      </c>
      <c r="C25" s="3" t="s">
        <v>138</v>
      </c>
      <c r="D25" s="3"/>
      <c r="E25" s="3"/>
      <c r="F25" s="3"/>
      <c r="G25" s="3"/>
    </row>
    <row r="26" spans="1:7">
      <c r="A26" s="7" t="s">
        <v>139</v>
      </c>
      <c r="B26" s="3" t="s">
        <v>140</v>
      </c>
      <c r="C26" s="3" t="s">
        <v>141</v>
      </c>
      <c r="D26" s="3"/>
      <c r="E26" s="3"/>
      <c r="F26" s="3"/>
      <c r="G26" s="3"/>
    </row>
    <row r="27" spans="1:7">
      <c r="A27" s="7" t="s">
        <v>142</v>
      </c>
      <c r="B27" s="3" t="s">
        <v>143</v>
      </c>
      <c r="C27" s="3" t="s">
        <v>144</v>
      </c>
      <c r="D27" s="3"/>
      <c r="E27" s="3"/>
      <c r="F27" s="3"/>
      <c r="G27" s="3"/>
    </row>
    <row r="28" spans="1:7">
      <c r="A28" s="7" t="s">
        <v>145</v>
      </c>
      <c r="B28" s="3" t="s">
        <v>146</v>
      </c>
      <c r="C28" s="3" t="s">
        <v>147</v>
      </c>
      <c r="D28" s="3"/>
      <c r="E28" s="3"/>
      <c r="F28" s="3"/>
      <c r="G28" s="3"/>
    </row>
    <row r="29" spans="1:7">
      <c r="A29" s="7" t="s">
        <v>148</v>
      </c>
      <c r="B29" s="3" t="s">
        <v>149</v>
      </c>
      <c r="C29" s="3" t="s">
        <v>150</v>
      </c>
      <c r="D29" s="3"/>
      <c r="E29" s="3"/>
      <c r="F29" s="3"/>
      <c r="G29" s="3"/>
    </row>
  </sheetData>
  <mergeCells count="14">
    <mergeCell ref="A1:G1"/>
    <mergeCell ref="B15:G15"/>
    <mergeCell ref="C16:G16"/>
    <mergeCell ref="C17:G17"/>
    <mergeCell ref="C18:G18"/>
    <mergeCell ref="C19:G19"/>
    <mergeCell ref="C20:G20"/>
    <mergeCell ref="C21:G21"/>
    <mergeCell ref="B24:G24"/>
    <mergeCell ref="C25:G25"/>
    <mergeCell ref="C26:G26"/>
    <mergeCell ref="C27:G27"/>
    <mergeCell ref="C28:G28"/>
    <mergeCell ref="C29:G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25.7109375" customWidth="1"/>
    <col min="2" max="6" width="15.7109375" customWidth="1"/>
    <col min="7" max="7" width="25.7109375" customWidth="1"/>
  </cols>
  <sheetData>
    <row r="1" spans="1:7">
      <c r="A1" s="1" t="s">
        <v>151</v>
      </c>
      <c r="B1" s="1"/>
      <c r="C1" s="1"/>
      <c r="D1" s="1"/>
      <c r="E1" s="1"/>
      <c r="F1" s="1"/>
      <c r="G1" s="1"/>
    </row>
    <row r="3" spans="1:7">
      <c r="A3" s="2" t="s">
        <v>152</v>
      </c>
      <c r="B3" s="2" t="s">
        <v>153</v>
      </c>
      <c r="C3" s="2" t="s">
        <v>154</v>
      </c>
      <c r="D3" s="2" t="s">
        <v>155</v>
      </c>
      <c r="E3" s="2" t="s">
        <v>156</v>
      </c>
      <c r="F3" s="2" t="s">
        <v>157</v>
      </c>
      <c r="G3" s="2" t="s">
        <v>158</v>
      </c>
    </row>
    <row r="4" spans="1:7">
      <c r="A4" s="3" t="s">
        <v>159</v>
      </c>
      <c r="B4" s="8" t="s">
        <v>160</v>
      </c>
      <c r="C4" s="8" t="s">
        <v>161</v>
      </c>
      <c r="D4" s="11">
        <v>180.8</v>
      </c>
      <c r="E4" s="4">
        <v>1000</v>
      </c>
      <c r="F4" s="4">
        <v>200</v>
      </c>
      <c r="G4" s="3" t="s">
        <v>162</v>
      </c>
    </row>
    <row r="5" spans="1:7">
      <c r="A5" s="3" t="s">
        <v>163</v>
      </c>
      <c r="B5" s="8" t="s">
        <v>164</v>
      </c>
      <c r="C5" s="8" t="s">
        <v>161</v>
      </c>
      <c r="D5" s="12">
        <v>324.32</v>
      </c>
      <c r="E5" s="4">
        <v>1000</v>
      </c>
      <c r="F5" s="4">
        <v>150</v>
      </c>
      <c r="G5" s="3" t="s">
        <v>165</v>
      </c>
    </row>
    <row r="6" spans="1:7">
      <c r="A6" s="3" t="s">
        <v>166</v>
      </c>
      <c r="B6" s="8" t="s">
        <v>167</v>
      </c>
      <c r="C6" s="8" t="s">
        <v>168</v>
      </c>
      <c r="D6" s="11">
        <v>0</v>
      </c>
      <c r="E6" s="4">
        <v>5000</v>
      </c>
      <c r="F6" s="4">
        <v>300</v>
      </c>
      <c r="G6" s="3" t="s">
        <v>169</v>
      </c>
    </row>
    <row r="7" spans="1:7">
      <c r="A7" s="3" t="s">
        <v>170</v>
      </c>
      <c r="B7" s="8" t="s">
        <v>171</v>
      </c>
      <c r="C7" s="8" t="s">
        <v>172</v>
      </c>
      <c r="D7" s="12">
        <v>5126.14</v>
      </c>
      <c r="E7" s="4">
        <v>25000</v>
      </c>
      <c r="F7" s="4">
        <v>427.18</v>
      </c>
      <c r="G7" s="3" t="s">
        <v>173</v>
      </c>
    </row>
    <row r="8" spans="1:7">
      <c r="A8" s="3" t="s">
        <v>174</v>
      </c>
      <c r="B8" s="8" t="s">
        <v>175</v>
      </c>
      <c r="C8" s="8" t="s">
        <v>176</v>
      </c>
      <c r="D8" s="11">
        <v>0</v>
      </c>
      <c r="E8" s="4">
        <v>2000</v>
      </c>
      <c r="F8" s="4">
        <v>100</v>
      </c>
      <c r="G8" s="3" t="s">
        <v>177</v>
      </c>
    </row>
    <row r="9" spans="1:7">
      <c r="A9" s="3" t="s">
        <v>178</v>
      </c>
      <c r="B9" s="8" t="s">
        <v>168</v>
      </c>
      <c r="C9" s="8" t="s">
        <v>168</v>
      </c>
      <c r="D9" s="11">
        <v>0</v>
      </c>
      <c r="E9" s="4">
        <v>1500</v>
      </c>
      <c r="F9" s="4">
        <v>50</v>
      </c>
      <c r="G9" s="3" t="s">
        <v>179</v>
      </c>
    </row>
    <row r="11" spans="1:7">
      <c r="A11" s="10" t="s">
        <v>180</v>
      </c>
      <c r="B11" s="10" t="s">
        <v>181</v>
      </c>
      <c r="C11" s="10"/>
      <c r="D11" s="10"/>
      <c r="E11" s="10"/>
      <c r="F11" s="10"/>
      <c r="G11" s="10"/>
    </row>
    <row r="12" spans="1:7">
      <c r="A12" s="3" t="s">
        <v>182</v>
      </c>
      <c r="B12" s="4">
        <f>SUM(D4:D6)</f>
        <v>0</v>
      </c>
      <c r="C12" s="3" t="s">
        <v>183</v>
      </c>
      <c r="D12" s="3"/>
      <c r="E12" s="3"/>
      <c r="F12" s="3"/>
      <c r="G12" s="3"/>
    </row>
    <row r="13" spans="1:7">
      <c r="A13" s="3" t="s">
        <v>184</v>
      </c>
      <c r="B13" s="4">
        <f>D7</f>
        <v>0</v>
      </c>
      <c r="C13" s="3" t="s">
        <v>185</v>
      </c>
      <c r="D13" s="3"/>
      <c r="E13" s="3"/>
      <c r="F13" s="3"/>
      <c r="G13" s="3"/>
    </row>
    <row r="14" spans="1:7">
      <c r="A14" s="3" t="s">
        <v>186</v>
      </c>
      <c r="B14" s="4">
        <f>D8</f>
        <v>0</v>
      </c>
      <c r="C14" s="3" t="s">
        <v>187</v>
      </c>
      <c r="D14" s="3"/>
      <c r="E14" s="3"/>
      <c r="F14" s="3"/>
      <c r="G14" s="3"/>
    </row>
    <row r="15" spans="1:7">
      <c r="A15" s="3" t="s">
        <v>188</v>
      </c>
      <c r="B15" s="4">
        <f>SUM(D4:D9)</f>
        <v>0</v>
      </c>
      <c r="C15" s="3" t="s">
        <v>189</v>
      </c>
      <c r="D15" s="3"/>
      <c r="E15" s="3"/>
      <c r="F15" s="3"/>
      <c r="G15" s="3"/>
    </row>
    <row r="16" spans="1:7">
      <c r="A16" s="3" t="s">
        <v>190</v>
      </c>
      <c r="B16" s="4">
        <f>SUM(E4:E9)</f>
        <v>0</v>
      </c>
      <c r="C16" s="3" t="s">
        <v>191</v>
      </c>
      <c r="D16" s="3"/>
      <c r="E16" s="3"/>
      <c r="F16" s="3"/>
      <c r="G16" s="3"/>
    </row>
    <row r="17" spans="1:7">
      <c r="A17" s="3" t="s">
        <v>192</v>
      </c>
      <c r="B17" s="5">
        <f>D15/E15</f>
        <v>0</v>
      </c>
      <c r="C17" s="3" t="s">
        <v>193</v>
      </c>
      <c r="D17" s="3"/>
      <c r="E17" s="3"/>
      <c r="F17" s="3"/>
      <c r="G17" s="3"/>
    </row>
    <row r="18" spans="1:7">
      <c r="A18" s="3" t="s">
        <v>194</v>
      </c>
      <c r="B18" s="4">
        <f>SUM(F4:F9)</f>
        <v>0</v>
      </c>
      <c r="C18" s="3" t="s">
        <v>195</v>
      </c>
      <c r="D18" s="3"/>
      <c r="E18" s="3"/>
      <c r="F18" s="3"/>
      <c r="G18" s="3"/>
    </row>
    <row r="20" spans="1:7">
      <c r="A20" s="10" t="s">
        <v>196</v>
      </c>
      <c r="B20" s="10" t="s">
        <v>197</v>
      </c>
      <c r="C20" s="10"/>
      <c r="D20" s="10"/>
      <c r="E20" s="10"/>
      <c r="F20" s="10"/>
      <c r="G20" s="10"/>
    </row>
    <row r="22" spans="1:7">
      <c r="A22" s="2" t="s">
        <v>198</v>
      </c>
      <c r="B22" s="2" t="s">
        <v>199</v>
      </c>
      <c r="C22" s="2" t="s">
        <v>200</v>
      </c>
      <c r="D22" s="2" t="s">
        <v>166</v>
      </c>
      <c r="E22" s="2" t="s">
        <v>170</v>
      </c>
      <c r="F22" s="2" t="s">
        <v>201</v>
      </c>
      <c r="G22" s="2" t="s">
        <v>178</v>
      </c>
    </row>
    <row r="23" spans="1:7">
      <c r="A23" s="8" t="s">
        <v>202</v>
      </c>
      <c r="B23" s="4"/>
      <c r="C23" s="4"/>
      <c r="D23" s="4"/>
      <c r="E23" s="4"/>
      <c r="F23" s="4"/>
      <c r="G23" s="4"/>
    </row>
    <row r="24" spans="1:7">
      <c r="A24" s="8" t="s">
        <v>203</v>
      </c>
      <c r="B24" s="4"/>
      <c r="C24" s="4"/>
      <c r="D24" s="4"/>
      <c r="E24" s="4"/>
      <c r="F24" s="4"/>
      <c r="G24" s="4"/>
    </row>
    <row r="25" spans="1:7">
      <c r="A25" s="8" t="s">
        <v>204</v>
      </c>
      <c r="B25" s="4"/>
      <c r="C25" s="4"/>
      <c r="D25" s="4"/>
      <c r="E25" s="4"/>
      <c r="F25" s="4"/>
      <c r="G25" s="4"/>
    </row>
    <row r="26" spans="1:7">
      <c r="A26" s="8" t="s">
        <v>205</v>
      </c>
      <c r="B26" s="4"/>
      <c r="C26" s="4"/>
      <c r="D26" s="4"/>
      <c r="E26" s="4"/>
      <c r="F26" s="4"/>
      <c r="G26" s="4"/>
    </row>
    <row r="27" spans="1:7">
      <c r="A27" s="8" t="s">
        <v>206</v>
      </c>
      <c r="B27" s="4"/>
      <c r="C27" s="4"/>
      <c r="D27" s="4"/>
      <c r="E27" s="4"/>
      <c r="F27" s="4"/>
      <c r="G27" s="4"/>
    </row>
    <row r="28" spans="1:7">
      <c r="A28" s="8" t="s">
        <v>207</v>
      </c>
      <c r="B28" s="4"/>
      <c r="C28" s="4"/>
      <c r="D28" s="4"/>
      <c r="E28" s="4"/>
      <c r="F28" s="4"/>
      <c r="G28" s="4"/>
    </row>
    <row r="30" spans="1:7">
      <c r="A30" s="10" t="s">
        <v>208</v>
      </c>
      <c r="B30" s="10" t="s">
        <v>209</v>
      </c>
      <c r="C30" s="10"/>
      <c r="D30" s="10"/>
      <c r="E30" s="10"/>
      <c r="F30" s="10"/>
      <c r="G30" s="10"/>
    </row>
    <row r="31" spans="1:7">
      <c r="A31" s="7" t="s">
        <v>210</v>
      </c>
      <c r="B31" s="3" t="s">
        <v>211</v>
      </c>
      <c r="C31" s="3" t="s">
        <v>212</v>
      </c>
      <c r="D31" s="3"/>
      <c r="E31" s="3"/>
      <c r="F31" s="3"/>
      <c r="G31" s="3"/>
    </row>
    <row r="32" spans="1:7">
      <c r="A32" s="7" t="s">
        <v>213</v>
      </c>
      <c r="B32" s="3" t="s">
        <v>214</v>
      </c>
      <c r="C32" s="3" t="s">
        <v>215</v>
      </c>
      <c r="D32" s="3"/>
      <c r="E32" s="3"/>
      <c r="F32" s="3"/>
      <c r="G32" s="3"/>
    </row>
    <row r="33" spans="1:7">
      <c r="A33" s="7" t="s">
        <v>167</v>
      </c>
      <c r="B33" s="3" t="s">
        <v>216</v>
      </c>
      <c r="C33" s="3" t="s">
        <v>217</v>
      </c>
      <c r="D33" s="3"/>
      <c r="E33" s="3"/>
      <c r="F33" s="3"/>
      <c r="G33" s="3"/>
    </row>
    <row r="34" spans="1:7">
      <c r="A34" s="7" t="s">
        <v>218</v>
      </c>
      <c r="B34" s="3" t="s">
        <v>219</v>
      </c>
      <c r="C34" s="3" t="s">
        <v>220</v>
      </c>
      <c r="D34" s="3"/>
      <c r="E34" s="3"/>
      <c r="F34" s="3"/>
      <c r="G34" s="3"/>
    </row>
    <row r="35" spans="1:7">
      <c r="A35" s="7" t="s">
        <v>174</v>
      </c>
      <c r="B35" s="3" t="s">
        <v>221</v>
      </c>
      <c r="C35" s="3" t="s">
        <v>222</v>
      </c>
      <c r="D35" s="3"/>
      <c r="E35" s="3"/>
      <c r="F35" s="3"/>
      <c r="G35" s="3"/>
    </row>
    <row r="36" spans="1:7">
      <c r="A36" s="7" t="s">
        <v>223</v>
      </c>
      <c r="B36" s="3" t="s">
        <v>224</v>
      </c>
      <c r="C36" s="3" t="s">
        <v>225</v>
      </c>
      <c r="D36" s="3"/>
      <c r="E36" s="3"/>
      <c r="F36" s="3"/>
      <c r="G36" s="3"/>
    </row>
  </sheetData>
  <mergeCells count="17">
    <mergeCell ref="A1:G1"/>
    <mergeCell ref="B11:G11"/>
    <mergeCell ref="C12:G12"/>
    <mergeCell ref="C13:G13"/>
    <mergeCell ref="C14:G14"/>
    <mergeCell ref="C15:G15"/>
    <mergeCell ref="C16:G16"/>
    <mergeCell ref="C17:G17"/>
    <mergeCell ref="C18:G18"/>
    <mergeCell ref="B20:G20"/>
    <mergeCell ref="B30:G30"/>
    <mergeCell ref="C31:G31"/>
    <mergeCell ref="C32:G32"/>
    <mergeCell ref="C33:G33"/>
    <mergeCell ref="C34:G34"/>
    <mergeCell ref="C35:G35"/>
    <mergeCell ref="C36:G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25.7109375" customWidth="1"/>
    <col min="2" max="5" width="15.7109375" customWidth="1"/>
    <col min="6" max="6" width="30.7109375" customWidth="1"/>
  </cols>
  <sheetData>
    <row r="1" spans="1:6">
      <c r="A1" s="1" t="s">
        <v>226</v>
      </c>
      <c r="B1" s="1"/>
      <c r="C1" s="1"/>
      <c r="D1" s="1"/>
      <c r="E1" s="1"/>
      <c r="F1" s="1"/>
    </row>
    <row r="3" spans="1:6">
      <c r="A3" s="10" t="s">
        <v>227</v>
      </c>
      <c r="B3" s="13">
        <v>640</v>
      </c>
      <c r="C3" s="10" t="s">
        <v>228</v>
      </c>
      <c r="D3" s="14" t="s">
        <v>229</v>
      </c>
      <c r="E3" s="10" t="s">
        <v>230</v>
      </c>
      <c r="F3" s="15" t="s">
        <v>231</v>
      </c>
    </row>
    <row r="5" spans="1:6">
      <c r="A5" s="2" t="s">
        <v>232</v>
      </c>
      <c r="B5" s="2" t="s">
        <v>233</v>
      </c>
      <c r="C5" s="2" t="s">
        <v>234</v>
      </c>
      <c r="D5" s="2" t="s">
        <v>235</v>
      </c>
      <c r="E5" s="2" t="s">
        <v>4</v>
      </c>
      <c r="F5" s="2" t="s">
        <v>236</v>
      </c>
    </row>
    <row r="6" spans="1:6">
      <c r="A6" s="3" t="s">
        <v>237</v>
      </c>
      <c r="B6" s="6" t="s">
        <v>238</v>
      </c>
      <c r="C6" s="8" t="s">
        <v>239</v>
      </c>
      <c r="D6" s="7" t="s">
        <v>95</v>
      </c>
      <c r="E6" s="5">
        <v>0.85</v>
      </c>
      <c r="F6" s="3" t="s">
        <v>240</v>
      </c>
    </row>
    <row r="7" spans="1:6">
      <c r="A7" s="3" t="s">
        <v>241</v>
      </c>
      <c r="B7" s="9" t="s">
        <v>242</v>
      </c>
      <c r="C7" s="8" t="s">
        <v>243</v>
      </c>
      <c r="D7" s="9" t="s">
        <v>244</v>
      </c>
      <c r="E7" s="5">
        <v>0.2</v>
      </c>
      <c r="F7" s="3" t="s">
        <v>245</v>
      </c>
    </row>
    <row r="8" spans="1:6">
      <c r="A8" s="3" t="s">
        <v>246</v>
      </c>
      <c r="B8" s="9" t="s">
        <v>247</v>
      </c>
      <c r="C8" s="8" t="s">
        <v>248</v>
      </c>
      <c r="D8" s="16" t="s">
        <v>91</v>
      </c>
      <c r="E8" s="5">
        <v>0.6</v>
      </c>
      <c r="F8" s="3" t="s">
        <v>249</v>
      </c>
    </row>
    <row r="9" spans="1:6">
      <c r="A9" s="3" t="s">
        <v>250</v>
      </c>
      <c r="B9" s="9" t="s">
        <v>251</v>
      </c>
      <c r="C9" s="8" t="s">
        <v>252</v>
      </c>
      <c r="D9" s="6" t="s">
        <v>17</v>
      </c>
      <c r="E9" s="5">
        <v>0.4</v>
      </c>
      <c r="F9" s="3" t="s">
        <v>253</v>
      </c>
    </row>
    <row r="10" spans="1:6">
      <c r="A10" s="3" t="s">
        <v>254</v>
      </c>
      <c r="B10" s="9" t="s">
        <v>255</v>
      </c>
      <c r="C10" s="8" t="s">
        <v>256</v>
      </c>
      <c r="D10" s="16" t="s">
        <v>91</v>
      </c>
      <c r="E10" s="5">
        <v>0.7</v>
      </c>
      <c r="F10" s="3" t="s">
        <v>257</v>
      </c>
    </row>
    <row r="11" spans="1:6">
      <c r="A11" s="3" t="s">
        <v>258</v>
      </c>
      <c r="B11" s="8" t="s">
        <v>259</v>
      </c>
      <c r="C11" s="8" t="s">
        <v>260</v>
      </c>
      <c r="D11" s="6" t="s">
        <v>17</v>
      </c>
      <c r="E11" s="5">
        <v>0.5</v>
      </c>
      <c r="F11" s="3" t="s">
        <v>261</v>
      </c>
    </row>
    <row r="12" spans="1:6">
      <c r="A12" s="3" t="s">
        <v>32</v>
      </c>
      <c r="B12" s="6" t="s">
        <v>262</v>
      </c>
      <c r="C12" s="8" t="s">
        <v>263</v>
      </c>
      <c r="D12" s="7" t="s">
        <v>95</v>
      </c>
      <c r="E12" s="5">
        <v>1</v>
      </c>
      <c r="F12" s="3" t="s">
        <v>264</v>
      </c>
    </row>
    <row r="15" spans="1:6">
      <c r="A15" s="10" t="s">
        <v>265</v>
      </c>
      <c r="B15" s="10" t="s">
        <v>266</v>
      </c>
      <c r="C15" s="10"/>
      <c r="D15" s="10"/>
      <c r="E15" s="10"/>
      <c r="F15" s="10"/>
    </row>
    <row r="17" spans="1:6">
      <c r="A17" s="2" t="s">
        <v>267</v>
      </c>
      <c r="B17" s="2" t="s">
        <v>268</v>
      </c>
      <c r="C17" s="2" t="s">
        <v>269</v>
      </c>
      <c r="D17" s="2" t="s">
        <v>270</v>
      </c>
    </row>
    <row r="18" spans="1:6">
      <c r="A18" s="8" t="s">
        <v>271</v>
      </c>
      <c r="B18" s="3" t="s">
        <v>272</v>
      </c>
      <c r="C18" s="7" t="s">
        <v>273</v>
      </c>
      <c r="D18" s="3" t="s">
        <v>274</v>
      </c>
    </row>
    <row r="19" spans="1:6">
      <c r="A19" s="8" t="s">
        <v>275</v>
      </c>
      <c r="B19" s="3" t="s">
        <v>276</v>
      </c>
      <c r="C19" s="9" t="s">
        <v>15</v>
      </c>
      <c r="D19" s="3" t="s">
        <v>277</v>
      </c>
    </row>
    <row r="20" spans="1:6">
      <c r="A20" s="8" t="s">
        <v>278</v>
      </c>
      <c r="B20" s="3" t="s">
        <v>279</v>
      </c>
      <c r="C20" s="7" t="s">
        <v>273</v>
      </c>
      <c r="D20" s="3" t="s">
        <v>280</v>
      </c>
    </row>
    <row r="21" spans="1:6">
      <c r="A21" s="8" t="s">
        <v>281</v>
      </c>
      <c r="B21" s="3" t="s">
        <v>282</v>
      </c>
      <c r="C21" s="9" t="s">
        <v>15</v>
      </c>
      <c r="D21" s="3" t="s">
        <v>283</v>
      </c>
    </row>
    <row r="22" spans="1:6">
      <c r="A22" s="8" t="s">
        <v>284</v>
      </c>
      <c r="B22" s="3" t="s">
        <v>285</v>
      </c>
      <c r="C22" s="16" t="s">
        <v>286</v>
      </c>
      <c r="D22" s="3" t="s">
        <v>287</v>
      </c>
    </row>
    <row r="23" spans="1:6">
      <c r="A23" s="8" t="s">
        <v>288</v>
      </c>
      <c r="B23" s="3" t="s">
        <v>289</v>
      </c>
      <c r="C23" s="16" t="s">
        <v>286</v>
      </c>
      <c r="D23" s="3" t="s">
        <v>290</v>
      </c>
    </row>
    <row r="26" spans="1:6">
      <c r="A26" s="10" t="s">
        <v>291</v>
      </c>
      <c r="B26" s="10" t="s">
        <v>292</v>
      </c>
      <c r="C26" s="10"/>
      <c r="D26" s="10"/>
      <c r="E26" s="10"/>
      <c r="F26" s="10"/>
    </row>
    <row r="28" spans="1:6">
      <c r="A28" s="2" t="s">
        <v>293</v>
      </c>
      <c r="B28" s="2" t="s">
        <v>294</v>
      </c>
      <c r="C28" s="2" t="s">
        <v>295</v>
      </c>
    </row>
    <row r="29" spans="1:6">
      <c r="A29" s="3" t="s">
        <v>296</v>
      </c>
      <c r="B29" s="9">
        <v>640</v>
      </c>
      <c r="C29" s="3" t="s">
        <v>297</v>
      </c>
      <c r="D29" s="3"/>
      <c r="E29" s="3"/>
      <c r="F29" s="3"/>
    </row>
    <row r="30" spans="1:6">
      <c r="A30" s="3" t="s">
        <v>298</v>
      </c>
      <c r="B30" s="9">
        <v>650</v>
      </c>
      <c r="C30" s="3" t="s">
        <v>299</v>
      </c>
      <c r="D30" s="3"/>
      <c r="E30" s="3"/>
      <c r="F30" s="3"/>
    </row>
    <row r="31" spans="1:6">
      <c r="A31" s="3" t="s">
        <v>300</v>
      </c>
      <c r="B31" s="7">
        <v>680</v>
      </c>
      <c r="C31" s="3" t="s">
        <v>301</v>
      </c>
      <c r="D31" s="3"/>
      <c r="E31" s="3"/>
      <c r="F31" s="3"/>
    </row>
    <row r="32" spans="1:6">
      <c r="A32" s="3" t="s">
        <v>302</v>
      </c>
      <c r="B32" s="7">
        <v>700</v>
      </c>
      <c r="C32" s="3" t="s">
        <v>303</v>
      </c>
      <c r="D32" s="3"/>
      <c r="E32" s="3"/>
      <c r="F32" s="3"/>
    </row>
    <row r="33" spans="1:6">
      <c r="A33" s="3" t="s">
        <v>304</v>
      </c>
      <c r="B33" s="6">
        <v>720</v>
      </c>
      <c r="C33" s="3" t="s">
        <v>305</v>
      </c>
      <c r="D33" s="3"/>
      <c r="E33" s="3"/>
      <c r="F33" s="3"/>
    </row>
    <row r="34" spans="1:6">
      <c r="A34" s="3" t="s">
        <v>306</v>
      </c>
      <c r="B34" s="6">
        <v>740</v>
      </c>
      <c r="C34" s="3" t="s">
        <v>307</v>
      </c>
      <c r="D34" s="3"/>
      <c r="E34" s="3"/>
      <c r="F34" s="3"/>
    </row>
  </sheetData>
  <mergeCells count="9">
    <mergeCell ref="A1:F1"/>
    <mergeCell ref="B15:F15"/>
    <mergeCell ref="B26:F26"/>
    <mergeCell ref="C29:F29"/>
    <mergeCell ref="C30:F30"/>
    <mergeCell ref="C31:F31"/>
    <mergeCell ref="C32:F32"/>
    <mergeCell ref="C33:F33"/>
    <mergeCell ref="C34:F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cols>
    <col min="1" max="1" width="5.7109375" customWidth="1"/>
    <col min="2" max="2" width="30.7109375" customWidth="1"/>
    <col min="3" max="6" width="15.7109375" customWidth="1"/>
    <col min="7" max="7" width="25.7109375" customWidth="1"/>
  </cols>
  <sheetData>
    <row r="1" spans="1:7">
      <c r="A1" s="1" t="s">
        <v>308</v>
      </c>
      <c r="B1" s="1"/>
      <c r="C1" s="1"/>
      <c r="D1" s="1"/>
      <c r="E1" s="1"/>
      <c r="F1" s="1"/>
      <c r="G1" s="1"/>
    </row>
    <row r="3" spans="1:7">
      <c r="A3" s="2" t="s">
        <v>309</v>
      </c>
      <c r="B3" s="2" t="s">
        <v>268</v>
      </c>
      <c r="C3" s="2" t="s">
        <v>269</v>
      </c>
      <c r="D3" s="2" t="s">
        <v>310</v>
      </c>
      <c r="E3" s="2" t="s">
        <v>311</v>
      </c>
      <c r="F3" s="2" t="s">
        <v>312</v>
      </c>
      <c r="G3" s="2" t="s">
        <v>313</v>
      </c>
    </row>
    <row r="4" spans="1:7">
      <c r="A4" s="8" t="s">
        <v>314</v>
      </c>
      <c r="B4" s="3" t="s">
        <v>315</v>
      </c>
      <c r="C4" s="9" t="s">
        <v>95</v>
      </c>
      <c r="D4" s="4">
        <v>7.99</v>
      </c>
      <c r="E4" s="8" t="s">
        <v>316</v>
      </c>
      <c r="F4" s="8" t="s">
        <v>317</v>
      </c>
      <c r="G4" s="3" t="s">
        <v>318</v>
      </c>
    </row>
    <row r="5" spans="1:7">
      <c r="A5" s="8" t="s">
        <v>314</v>
      </c>
      <c r="B5" s="3" t="s">
        <v>319</v>
      </c>
      <c r="C5" s="9" t="s">
        <v>95</v>
      </c>
      <c r="D5" s="4">
        <v>7.99</v>
      </c>
      <c r="E5" s="8" t="s">
        <v>316</v>
      </c>
      <c r="F5" s="8" t="s">
        <v>317</v>
      </c>
      <c r="G5" s="3" t="s">
        <v>320</v>
      </c>
    </row>
    <row r="6" spans="1:7">
      <c r="A6" s="8" t="s">
        <v>314</v>
      </c>
      <c r="B6" s="3" t="s">
        <v>321</v>
      </c>
      <c r="C6" s="9" t="s">
        <v>95</v>
      </c>
      <c r="D6" s="8" t="s">
        <v>322</v>
      </c>
      <c r="E6" s="8" t="s">
        <v>323</v>
      </c>
      <c r="F6" s="8" t="s">
        <v>324</v>
      </c>
      <c r="G6" s="3" t="s">
        <v>325</v>
      </c>
    </row>
    <row r="7" spans="1:7">
      <c r="A7" s="8" t="s">
        <v>314</v>
      </c>
      <c r="B7" s="3" t="s">
        <v>326</v>
      </c>
      <c r="C7" s="9" t="s">
        <v>95</v>
      </c>
      <c r="D7" s="8" t="s">
        <v>322</v>
      </c>
      <c r="E7" s="8" t="s">
        <v>327</v>
      </c>
      <c r="F7" s="8" t="s">
        <v>328</v>
      </c>
      <c r="G7" s="3" t="s">
        <v>329</v>
      </c>
    </row>
    <row r="8" spans="1:7">
      <c r="A8" s="8" t="s">
        <v>314</v>
      </c>
      <c r="B8" s="3" t="s">
        <v>330</v>
      </c>
      <c r="C8" s="9" t="s">
        <v>95</v>
      </c>
      <c r="D8" s="8" t="s">
        <v>322</v>
      </c>
      <c r="E8" s="8" t="s">
        <v>331</v>
      </c>
      <c r="F8" s="8" t="s">
        <v>317</v>
      </c>
      <c r="G8" s="3" t="s">
        <v>332</v>
      </c>
    </row>
    <row r="9" spans="1:7">
      <c r="A9" s="8" t="s">
        <v>314</v>
      </c>
      <c r="B9" s="3" t="s">
        <v>333</v>
      </c>
      <c r="C9" s="7" t="s">
        <v>91</v>
      </c>
      <c r="D9" s="4">
        <v>30</v>
      </c>
      <c r="E9" s="8" t="s">
        <v>334</v>
      </c>
      <c r="F9" s="8" t="s">
        <v>324</v>
      </c>
      <c r="G9" s="3" t="s">
        <v>335</v>
      </c>
    </row>
    <row r="10" spans="1:7">
      <c r="A10" s="8" t="s">
        <v>314</v>
      </c>
      <c r="B10" s="3" t="s">
        <v>336</v>
      </c>
      <c r="C10" s="7" t="s">
        <v>91</v>
      </c>
      <c r="D10" s="8" t="s">
        <v>322</v>
      </c>
      <c r="E10" s="8" t="s">
        <v>337</v>
      </c>
      <c r="F10" s="8" t="s">
        <v>328</v>
      </c>
      <c r="G10" s="3" t="s">
        <v>338</v>
      </c>
    </row>
    <row r="11" spans="1:7">
      <c r="A11" s="8" t="s">
        <v>314</v>
      </c>
      <c r="B11" s="3" t="s">
        <v>279</v>
      </c>
      <c r="C11" s="7" t="s">
        <v>91</v>
      </c>
      <c r="D11" s="8" t="s">
        <v>322</v>
      </c>
      <c r="E11" s="8" t="s">
        <v>327</v>
      </c>
      <c r="F11" s="8" t="s">
        <v>317</v>
      </c>
      <c r="G11" s="3" t="s">
        <v>339</v>
      </c>
    </row>
    <row r="12" spans="1:7">
      <c r="A12" s="8" t="s">
        <v>314</v>
      </c>
      <c r="B12" s="3" t="s">
        <v>340</v>
      </c>
      <c r="C12" s="7" t="s">
        <v>91</v>
      </c>
      <c r="D12" s="4">
        <v>15</v>
      </c>
      <c r="E12" s="8" t="s">
        <v>337</v>
      </c>
      <c r="F12" s="8" t="s">
        <v>341</v>
      </c>
      <c r="G12" s="3" t="s">
        <v>342</v>
      </c>
    </row>
    <row r="13" spans="1:7">
      <c r="A13" s="8" t="s">
        <v>314</v>
      </c>
      <c r="B13" s="3" t="s">
        <v>343</v>
      </c>
      <c r="C13" s="7" t="s">
        <v>91</v>
      </c>
      <c r="D13" s="4">
        <v>11.99</v>
      </c>
      <c r="E13" s="8" t="s">
        <v>316</v>
      </c>
      <c r="F13" s="8" t="s">
        <v>328</v>
      </c>
      <c r="G13" s="3" t="s">
        <v>144</v>
      </c>
    </row>
    <row r="14" spans="1:7">
      <c r="A14" s="8" t="s">
        <v>314</v>
      </c>
      <c r="B14" s="3" t="s">
        <v>344</v>
      </c>
      <c r="C14" s="6" t="s">
        <v>17</v>
      </c>
      <c r="D14" s="8" t="s">
        <v>322</v>
      </c>
      <c r="E14" s="8" t="s">
        <v>345</v>
      </c>
      <c r="F14" s="8" t="s">
        <v>346</v>
      </c>
      <c r="G14" s="3" t="s">
        <v>347</v>
      </c>
    </row>
    <row r="15" spans="1:7">
      <c r="A15" s="8" t="s">
        <v>314</v>
      </c>
      <c r="B15" s="3" t="s">
        <v>348</v>
      </c>
      <c r="C15" s="6" t="s">
        <v>17</v>
      </c>
      <c r="D15" s="8" t="s">
        <v>322</v>
      </c>
      <c r="E15" s="8" t="s">
        <v>331</v>
      </c>
      <c r="F15" s="8" t="s">
        <v>341</v>
      </c>
      <c r="G15" s="3" t="s">
        <v>349</v>
      </c>
    </row>
    <row r="16" spans="1:7">
      <c r="A16" s="8" t="s">
        <v>314</v>
      </c>
      <c r="B16" s="3" t="s">
        <v>350</v>
      </c>
      <c r="C16" s="6" t="s">
        <v>17</v>
      </c>
      <c r="D16" s="8" t="s">
        <v>322</v>
      </c>
      <c r="E16" s="8" t="s">
        <v>327</v>
      </c>
      <c r="F16" s="8" t="s">
        <v>324</v>
      </c>
      <c r="G16" s="3" t="s">
        <v>351</v>
      </c>
    </row>
    <row r="17" spans="1:7">
      <c r="A17" s="8" t="s">
        <v>314</v>
      </c>
      <c r="B17" s="3" t="s">
        <v>352</v>
      </c>
      <c r="C17" s="6" t="s">
        <v>17</v>
      </c>
      <c r="D17" s="8" t="s">
        <v>322</v>
      </c>
      <c r="E17" s="8" t="s">
        <v>337</v>
      </c>
      <c r="F17" s="8" t="s">
        <v>328</v>
      </c>
      <c r="G17" s="3" t="s">
        <v>353</v>
      </c>
    </row>
    <row r="18" spans="1:7">
      <c r="A18" s="8" t="s">
        <v>314</v>
      </c>
      <c r="B18" s="3" t="s">
        <v>354</v>
      </c>
      <c r="C18" s="6" t="s">
        <v>17</v>
      </c>
      <c r="D18" s="8" t="s">
        <v>322</v>
      </c>
      <c r="E18" s="8" t="s">
        <v>331</v>
      </c>
      <c r="F18" s="8" t="s">
        <v>355</v>
      </c>
      <c r="G18" s="3" t="s">
        <v>356</v>
      </c>
    </row>
    <row r="19" spans="1:7">
      <c r="A19" s="8" t="s">
        <v>314</v>
      </c>
      <c r="B19" s="3" t="s">
        <v>357</v>
      </c>
      <c r="C19" s="7" t="s">
        <v>91</v>
      </c>
      <c r="D19" s="8" t="s">
        <v>322</v>
      </c>
      <c r="E19" s="8" t="s">
        <v>358</v>
      </c>
      <c r="F19" s="8" t="s">
        <v>52</v>
      </c>
      <c r="G19" s="3" t="s">
        <v>359</v>
      </c>
    </row>
    <row r="20" spans="1:7">
      <c r="A20" s="8" t="s">
        <v>314</v>
      </c>
      <c r="B20" s="3" t="s">
        <v>360</v>
      </c>
      <c r="C20" s="7" t="s">
        <v>91</v>
      </c>
      <c r="D20" s="8" t="s">
        <v>322</v>
      </c>
      <c r="E20" s="8" t="s">
        <v>327</v>
      </c>
      <c r="F20" s="8" t="s">
        <v>361</v>
      </c>
      <c r="G20" s="3" t="s">
        <v>362</v>
      </c>
    </row>
    <row r="21" spans="1:7">
      <c r="A21" s="8" t="s">
        <v>314</v>
      </c>
      <c r="B21" s="3" t="s">
        <v>363</v>
      </c>
      <c r="C21" s="6" t="s">
        <v>17</v>
      </c>
      <c r="D21" s="8" t="s">
        <v>322</v>
      </c>
      <c r="E21" s="8" t="s">
        <v>337</v>
      </c>
      <c r="F21" s="8" t="s">
        <v>364</v>
      </c>
      <c r="G21" s="3" t="s">
        <v>365</v>
      </c>
    </row>
    <row r="22" spans="1:7">
      <c r="A22" s="8" t="s">
        <v>314</v>
      </c>
      <c r="B22" s="3" t="s">
        <v>366</v>
      </c>
      <c r="C22" s="6" t="s">
        <v>17</v>
      </c>
      <c r="D22" s="8" t="s">
        <v>322</v>
      </c>
      <c r="E22" s="8" t="s">
        <v>345</v>
      </c>
      <c r="F22" s="8" t="s">
        <v>364</v>
      </c>
      <c r="G22" s="3" t="s">
        <v>367</v>
      </c>
    </row>
    <row r="23" spans="1:7">
      <c r="A23" s="8" t="s">
        <v>314</v>
      </c>
      <c r="B23" s="3" t="s">
        <v>368</v>
      </c>
      <c r="C23" s="6" t="s">
        <v>17</v>
      </c>
      <c r="D23" s="8" t="s">
        <v>322</v>
      </c>
      <c r="E23" s="8" t="s">
        <v>331</v>
      </c>
      <c r="F23" s="8" t="s">
        <v>364</v>
      </c>
      <c r="G23" s="3" t="s">
        <v>369</v>
      </c>
    </row>
    <row r="26" spans="1:7">
      <c r="A26" s="10" t="s">
        <v>370</v>
      </c>
      <c r="B26" s="10" t="s">
        <v>371</v>
      </c>
      <c r="C26" s="10"/>
      <c r="D26" s="10"/>
      <c r="E26" s="10"/>
      <c r="F26" s="10"/>
      <c r="G26" s="10"/>
    </row>
    <row r="27" spans="1:7">
      <c r="A27" s="3" t="s">
        <v>372</v>
      </c>
      <c r="B27" s="4">
        <v>72.97</v>
      </c>
      <c r="C27" s="3" t="s">
        <v>373</v>
      </c>
      <c r="D27" s="3"/>
      <c r="E27" s="3"/>
      <c r="F27" s="3"/>
      <c r="G27" s="3"/>
    </row>
    <row r="28" spans="1:7">
      <c r="A28" s="3" t="s">
        <v>374</v>
      </c>
      <c r="B28" s="8">
        <f>COUNTIF(C4:C23,"High")</f>
        <v>0</v>
      </c>
      <c r="C28" s="3" t="s">
        <v>375</v>
      </c>
      <c r="D28" s="3"/>
      <c r="E28" s="3"/>
      <c r="F28" s="3"/>
      <c r="G28" s="3"/>
    </row>
    <row r="29" spans="1:7">
      <c r="A29" s="3" t="s">
        <v>376</v>
      </c>
      <c r="B29" s="8">
        <f>COUNTIFS(E4:E23,"*minutes",D4:D23,"&gt;0")</f>
        <v>0</v>
      </c>
      <c r="C29" s="3" t="s">
        <v>377</v>
      </c>
      <c r="D29" s="3"/>
      <c r="E29" s="3"/>
      <c r="F29" s="3"/>
      <c r="G29" s="3"/>
    </row>
    <row r="30" spans="1:7">
      <c r="A30" s="3" t="s">
        <v>378</v>
      </c>
      <c r="B30" s="8">
        <f>COUNTIF(D4:D23,"Process")</f>
        <v>0</v>
      </c>
      <c r="C30" s="3" t="s">
        <v>379</v>
      </c>
      <c r="D30" s="3"/>
      <c r="E30" s="3"/>
      <c r="F30" s="3"/>
      <c r="G30" s="3"/>
    </row>
    <row r="31" spans="1:7">
      <c r="A31" s="3" t="s">
        <v>380</v>
      </c>
      <c r="B31" s="8" t="s">
        <v>381</v>
      </c>
      <c r="C31" s="3" t="s">
        <v>382</v>
      </c>
      <c r="D31" s="3"/>
      <c r="E31" s="3"/>
      <c r="F31" s="3"/>
      <c r="G31" s="3"/>
    </row>
    <row r="34" spans="1:7">
      <c r="A34" s="10" t="s">
        <v>383</v>
      </c>
      <c r="B34" s="10" t="s">
        <v>384</v>
      </c>
      <c r="C34" s="10"/>
      <c r="D34" s="10"/>
      <c r="E34" s="10"/>
      <c r="F34" s="10"/>
      <c r="G34" s="10"/>
    </row>
    <row r="36" spans="1:7">
      <c r="A36" s="2" t="s">
        <v>385</v>
      </c>
      <c r="B36" s="2" t="s">
        <v>386</v>
      </c>
      <c r="C36" s="2" t="s">
        <v>387</v>
      </c>
      <c r="D36" s="2" t="s">
        <v>41</v>
      </c>
    </row>
    <row r="37" spans="1:7">
      <c r="A37" s="8" t="s">
        <v>388</v>
      </c>
      <c r="B37" s="8"/>
      <c r="C37" s="4"/>
      <c r="D37" s="3"/>
      <c r="E37" s="3"/>
      <c r="F37" s="3"/>
      <c r="G37" s="3"/>
    </row>
    <row r="38" spans="1:7">
      <c r="A38" s="8" t="s">
        <v>389</v>
      </c>
      <c r="B38" s="8"/>
      <c r="C38" s="4"/>
      <c r="D38" s="3"/>
      <c r="E38" s="3"/>
      <c r="F38" s="3"/>
      <c r="G38" s="3"/>
    </row>
    <row r="39" spans="1:7">
      <c r="A39" s="8" t="s">
        <v>390</v>
      </c>
      <c r="B39" s="8"/>
      <c r="C39" s="4"/>
      <c r="D39" s="3"/>
      <c r="E39" s="3"/>
      <c r="F39" s="3"/>
      <c r="G39" s="3"/>
    </row>
    <row r="40" spans="1:7">
      <c r="A40" s="8" t="s">
        <v>391</v>
      </c>
      <c r="B40" s="8"/>
      <c r="C40" s="4"/>
      <c r="D40" s="3"/>
      <c r="E40" s="3"/>
      <c r="F40" s="3"/>
      <c r="G40" s="3"/>
    </row>
    <row r="41" spans="1:7">
      <c r="A41" s="8" t="s">
        <v>392</v>
      </c>
      <c r="B41" s="8"/>
      <c r="C41" s="4"/>
      <c r="D41" s="3"/>
      <c r="E41" s="3"/>
      <c r="F41" s="3"/>
      <c r="G41" s="3"/>
    </row>
    <row r="42" spans="1:7">
      <c r="A42" s="8" t="s">
        <v>393</v>
      </c>
      <c r="B42" s="8"/>
      <c r="C42" s="4"/>
      <c r="D42" s="3"/>
      <c r="E42" s="3"/>
      <c r="F42" s="3"/>
      <c r="G42" s="3"/>
    </row>
    <row r="43" spans="1:7">
      <c r="A43" s="8" t="s">
        <v>394</v>
      </c>
      <c r="B43" s="8"/>
      <c r="C43" s="4"/>
      <c r="D43" s="3"/>
      <c r="E43" s="3"/>
      <c r="F43" s="3"/>
      <c r="G43" s="3"/>
    </row>
    <row r="44" spans="1:7">
      <c r="A44" s="8" t="s">
        <v>395</v>
      </c>
      <c r="B44" s="8"/>
      <c r="C44" s="4"/>
      <c r="D44" s="3"/>
      <c r="E44" s="3"/>
      <c r="F44" s="3"/>
      <c r="G44" s="3"/>
    </row>
    <row r="45" spans="1:7">
      <c r="A45" s="8" t="s">
        <v>396</v>
      </c>
      <c r="B45" s="8"/>
      <c r="C45" s="4"/>
      <c r="D45" s="3"/>
      <c r="E45" s="3"/>
      <c r="F45" s="3"/>
      <c r="G45" s="3"/>
    </row>
    <row r="46" spans="1:7">
      <c r="A46" s="8" t="s">
        <v>397</v>
      </c>
      <c r="B46" s="8"/>
      <c r="C46" s="4"/>
      <c r="D46" s="3"/>
      <c r="E46" s="3"/>
      <c r="F46" s="3"/>
      <c r="G46" s="3"/>
    </row>
    <row r="47" spans="1:7">
      <c r="A47" s="8" t="s">
        <v>398</v>
      </c>
      <c r="B47" s="8"/>
      <c r="C47" s="4"/>
      <c r="D47" s="3"/>
      <c r="E47" s="3"/>
      <c r="F47" s="3"/>
      <c r="G47" s="3"/>
    </row>
    <row r="48" spans="1:7">
      <c r="A48" s="8" t="s">
        <v>399</v>
      </c>
      <c r="B48" s="8"/>
      <c r="C48" s="4"/>
      <c r="D48" s="3"/>
      <c r="E48" s="3"/>
      <c r="F48" s="3"/>
      <c r="G48" s="3"/>
    </row>
  </sheetData>
  <mergeCells count="20">
    <mergeCell ref="A1:G1"/>
    <mergeCell ref="B26:G26"/>
    <mergeCell ref="C27:G27"/>
    <mergeCell ref="C28:G28"/>
    <mergeCell ref="C29:G29"/>
    <mergeCell ref="C30:G30"/>
    <mergeCell ref="C31:G31"/>
    <mergeCell ref="B34:G34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D48:G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Dashboard_Data</vt:lpstr>
      <vt:lpstr>Income_Sources</vt:lpstr>
      <vt:lpstr>Subscriptions</vt:lpstr>
      <vt:lpstr>Accounts</vt:lpstr>
      <vt:lpstr>Credit_Optimization</vt:lpstr>
      <vt:lpstr>Action_Items</vt:lpstr>
    </vt:vector>
  </TitlesOfParts>
  <Manager>MrSixPack (Sammy)</Manager>
  <Company>Personal Finance Optimization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MrSixPack Financial Tracker</dc:title>
  <dc:subject>Personal Finance Management &amp; App Development Data</dc:subject>
  <dc:creator>Genspark AI Developer Assistant</dc:creator>
  <cp:keywords>finance, budgeting, credit score, savings, income tracking</cp:keywords>
  <dc:description>Comprehensive financial tracking spreadsheet optimized for app development with Genspark AI Developer. All data is fully editable and formula-driven.</dc:description>
  <cp:lastModifiedBy>Genspark AI Developer Assistant</cp:lastModifiedBy>
  <dcterms:created xsi:type="dcterms:W3CDTF">2025-10-15T23:18:25Z</dcterms:created>
  <dcterms:modified xsi:type="dcterms:W3CDTF">2025-10-15T23:18:25Z</dcterms:modified>
  <cp:category>Financial Planning</cp:category>
</cp:coreProperties>
</file>